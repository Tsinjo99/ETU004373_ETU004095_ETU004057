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_BNGR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<sst xmlns="http://schemas.openxmlformats.org/spreadsheetml/2006/main" count="130" uniqueCount="66">
  <si>
    <t xml:space="preserve">Categorie</t>
  </si>
  <si>
    <t xml:space="preserve">Nom Page / Module</t>
  </si>
  <si>
    <t xml:space="preserve">Description</t>
  </si>
  <si>
    <t xml:space="preserve">Type</t>
  </si>
  <si>
    <t xml:space="preserve">Estimation</t>
  </si>
  <si>
    <t xml:space="preserve">Temps Passe </t>
  </si>
  <si>
    <t xml:space="preserve">Reste a faire</t>
  </si>
  <si>
    <t xml:space="preserve">Avancement</t>
  </si>
  <si>
    <t xml:space="preserve">QUI</t>
  </si>
  <si>
    <t xml:space="preserve">Status</t>
  </si>
  <si>
    <t xml:space="preserve">Backend - Database</t>
  </si>
  <si>
    <t xml:space="preserve">Tables MySQL</t>
  </si>
  <si>
    <t xml:space="preserve">Création tables regions, villes, besoins, dons, distributions</t>
  </si>
  <si>
    <t xml:space="preserve">Backend</t>
  </si>
  <si>
    <t xml:space="preserve">Tsinjo</t>
  </si>
  <si>
    <t xml:space="preserve">OK</t>
  </si>
  <si>
    <t xml:space="preserve">Backend - Models</t>
  </si>
  <si>
    <t xml:space="preserve">RegionModel</t>
  </si>
  <si>
    <t xml:space="preserve">CRUD régions</t>
  </si>
  <si>
    <t xml:space="preserve">VilleModel</t>
  </si>
  <si>
    <t xml:space="preserve">CRUD villes + relation region</t>
  </si>
  <si>
    <t xml:space="preserve">BesoinModel</t>
  </si>
  <si>
    <t xml:space="preserve">CRUD besoins + calcul non satisfaits</t>
  </si>
  <si>
    <t xml:space="preserve">DonModel</t>
  </si>
  <si>
    <t xml:space="preserve">CRUD dons + calcul non distribués</t>
  </si>
  <si>
    <t xml:space="preserve">DistributionModel</t>
  </si>
  <si>
    <t xml:space="preserve">Gestion distributions + statistiques</t>
  </si>
  <si>
    <t xml:space="preserve">Backend - Controllers</t>
  </si>
  <si>
    <t xml:space="preserve">DashboardController</t>
  </si>
  <si>
    <t xml:space="preserve">Gestion KPI et stats villes</t>
  </si>
  <si>
    <t xml:space="preserve">Manda</t>
  </si>
  <si>
    <t xml:space="preserve">BesoinController</t>
  </si>
  <si>
    <t xml:space="preserve">Gestion besoins (index/store)</t>
  </si>
  <si>
    <t xml:space="preserve">DonController</t>
  </si>
  <si>
    <t xml:space="preserve">Gestion dons (index/store)</t>
  </si>
  <si>
    <t xml:space="preserve">VilleController</t>
  </si>
  <si>
    <t xml:space="preserve">Gestion villes (CRUD)</t>
  </si>
  <si>
    <t xml:space="preserve">DispatchController</t>
  </si>
  <si>
    <t xml:space="preserve">Algorithme FIFO dispatch</t>
  </si>
  <si>
    <t xml:space="preserve">Frontend - Views</t>
  </si>
  <si>
    <t xml:space="preserve">Dashboard Page</t>
  </si>
  <si>
    <t xml:space="preserve">Affichage KPI + tableau villes</t>
  </si>
  <si>
    <t xml:space="preserve">Frontend</t>
  </si>
  <si>
    <t xml:space="preserve">Eddy</t>
  </si>
  <si>
    <t xml:space="preserve">Besoins Page</t>
  </si>
  <si>
    <t xml:space="preserve">Formulaire + liste besoins</t>
  </si>
  <si>
    <t xml:space="preserve">Dons Page</t>
  </si>
  <si>
    <t xml:space="preserve">Formulaire + liste dons</t>
  </si>
  <si>
    <t xml:space="preserve">Dispatch Page</t>
  </si>
  <si>
    <t xml:space="preserve">Simulation + tableau distributions</t>
  </si>
  <si>
    <t xml:space="preserve">Villes Page</t>
  </si>
  <si>
    <t xml:space="preserve">Gestion régions + villes</t>
  </si>
  <si>
    <t xml:space="preserve">Frontend - Design</t>
  </si>
  <si>
    <t xml:space="preserve">CSS Design System</t>
  </si>
  <si>
    <t xml:space="preserve">Responsive + UI design complet</t>
  </si>
  <si>
    <t xml:space="preserve">Frontend - JS</t>
  </si>
  <si>
    <t xml:space="preserve">Script.js Features</t>
  </si>
  <si>
    <t xml:space="preserve">Animations, validation, search, spinner</t>
  </si>
  <si>
    <t xml:space="preserve">Routing</t>
  </si>
  <si>
    <t xml:space="preserve">Routes.php</t>
  </si>
  <si>
    <t xml:space="preserve">Définition des routes principales</t>
  </si>
  <si>
    <t xml:space="preserve">Finalisation</t>
  </si>
  <si>
    <t xml:space="preserve">Tests &amp; Messages</t>
  </si>
  <si>
    <t xml:space="preserve">Validation + messages succès/erreur</t>
  </si>
  <si>
    <t xml:space="preserve">Fullstack</t>
  </si>
  <si>
    <t xml:space="preserve">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</si>
</sst>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 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2" activeCellId="0" sqref="H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1"/>
    <col collapsed="false" customWidth="true" hidden="false" outlineLevel="0" max="3" min="3" style="1" width="63"/>
    <col collapsed="false" customWidth="true" hidden="false" outlineLevel="0" max="4" min="4" style="1" width="11"/>
    <col collapsed="false" customWidth="true" hidden="false" outlineLevel="0" max="5" min="5" style="1" width="22"/>
    <col collapsed="false" customWidth="true" hidden="false" outlineLevel="0" max="6" min="6" style="1" width="17"/>
    <col collapsed="false" customWidth="true" hidden="false" outlineLevel="0" max="7" min="7" style="1" width="12.38"/>
    <col collapsed="false" customWidth="true" hidden="false" outlineLevel="0" max="8" min="8" style="1" width="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n">
        <f aca="false">15</f>
        <v>15</v>
      </c>
      <c r="F2" s="1" t="n">
        <v>14</v>
      </c>
      <c r="G2" s="1" t="n">
        <f aca="false">E2-F2</f>
        <v>1</v>
      </c>
      <c r="H2" s="2" t="n">
        <f aca="false">(F2/(F2+G2))</f>
        <v>0.933333333333333</v>
      </c>
      <c r="I2" s="3" t="s">
        <v>14</v>
      </c>
      <c r="J2" s="3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13</v>
      </c>
      <c r="E3" s="1" t="n">
        <f aca="false">15</f>
        <v>15</v>
      </c>
      <c r="F3" s="1" t="n">
        <v>12</v>
      </c>
      <c r="G3" s="1" t="n">
        <f aca="false">E3-F3</f>
        <v>3</v>
      </c>
      <c r="H3" s="2" t="n">
        <f aca="false">(F3/(F3+G3))</f>
        <v>0.8</v>
      </c>
      <c r="I3" s="3" t="s">
        <v>14</v>
      </c>
      <c r="J3" s="3" t="s">
        <v>15</v>
      </c>
    </row>
    <row r="4" customFormat="false" ht="15" hidden="false" customHeight="false" outlineLevel="0" collapsed="false">
      <c r="A4" s="1" t="s">
        <v>16</v>
      </c>
      <c r="B4" s="1" t="s">
        <v>19</v>
      </c>
      <c r="C4" s="1" t="s">
        <v>20</v>
      </c>
      <c r="D4" s="1" t="s">
        <v>13</v>
      </c>
      <c r="E4" s="1" t="n">
        <f aca="false">15</f>
        <v>15</v>
      </c>
      <c r="F4" s="1" t="n">
        <v>13</v>
      </c>
      <c r="G4" s="1" t="n">
        <f aca="false">E4-F4</f>
        <v>2</v>
      </c>
      <c r="H4" s="2" t="n">
        <f aca="false">(F4/(F4+G4))</f>
        <v>0.866666666666667</v>
      </c>
      <c r="I4" s="3" t="s">
        <v>14</v>
      </c>
      <c r="J4" s="3" t="s">
        <v>15</v>
      </c>
    </row>
    <row r="5" customFormat="false" ht="15" hidden="false" customHeight="false" outlineLevel="0" collapsed="false">
      <c r="A5" s="1" t="s">
        <v>16</v>
      </c>
      <c r="B5" s="1" t="s">
        <v>21</v>
      </c>
      <c r="C5" s="1" t="s">
        <v>22</v>
      </c>
      <c r="D5" s="1" t="s">
        <v>13</v>
      </c>
      <c r="E5" s="1" t="n">
        <f aca="false">15</f>
        <v>15</v>
      </c>
      <c r="F5" s="1" t="n">
        <v>14</v>
      </c>
      <c r="G5" s="1" t="n">
        <f aca="false">E5-F5</f>
        <v>1</v>
      </c>
      <c r="H5" s="2" t="n">
        <f aca="false">(F5/(F5+G5))</f>
        <v>0.933333333333333</v>
      </c>
      <c r="I5" s="3" t="s">
        <v>14</v>
      </c>
      <c r="J5" s="3" t="s">
        <v>15</v>
      </c>
    </row>
    <row r="6" customFormat="false" ht="15" hidden="false" customHeight="false" outlineLevel="0" collapsed="false">
      <c r="A6" s="1" t="s">
        <v>16</v>
      </c>
      <c r="B6" s="1" t="s">
        <v>23</v>
      </c>
      <c r="C6" s="1" t="s">
        <v>24</v>
      </c>
      <c r="D6" s="1" t="s">
        <v>13</v>
      </c>
      <c r="E6" s="1" t="n">
        <f aca="false">15</f>
        <v>15</v>
      </c>
      <c r="F6" s="1" t="n">
        <v>13</v>
      </c>
      <c r="G6" s="1" t="n">
        <f aca="false">E6-F6</f>
        <v>2</v>
      </c>
      <c r="H6" s="2" t="n">
        <f aca="false">(F6/(F6+G6))</f>
        <v>0.866666666666667</v>
      </c>
      <c r="I6" s="3" t="s">
        <v>14</v>
      </c>
      <c r="J6" s="3" t="s">
        <v>15</v>
      </c>
    </row>
    <row r="7" customFormat="false" ht="15" hidden="false" customHeight="false" outlineLevel="0" collapsed="false">
      <c r="A7" s="1" t="s">
        <v>16</v>
      </c>
      <c r="B7" s="1" t="s">
        <v>25</v>
      </c>
      <c r="C7" s="1" t="s">
        <v>26</v>
      </c>
      <c r="D7" s="1" t="s">
        <v>13</v>
      </c>
      <c r="E7" s="1" t="n">
        <f aca="false">15</f>
        <v>15</v>
      </c>
      <c r="F7" s="1" t="n">
        <v>14</v>
      </c>
      <c r="G7" s="1" t="n">
        <f aca="false">E7-F7</f>
        <v>1</v>
      </c>
      <c r="H7" s="2" t="n">
        <f aca="false">(F7/(F7+G7))</f>
        <v>0.933333333333333</v>
      </c>
      <c r="I7" s="3" t="s">
        <v>14</v>
      </c>
      <c r="J7" s="3" t="s">
        <v>15</v>
      </c>
    </row>
    <row r="8" customFormat="false" ht="15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13</v>
      </c>
      <c r="E8" s="1" t="n">
        <f aca="false">15</f>
        <v>15</v>
      </c>
      <c r="F8" s="1" t="n">
        <v>13</v>
      </c>
      <c r="G8" s="1" t="n">
        <f aca="false">E8-F8</f>
        <v>2</v>
      </c>
      <c r="H8" s="2" t="n">
        <f aca="false">(F8/(F8+G8))</f>
        <v>0.866666666666667</v>
      </c>
      <c r="I8" s="3" t="s">
        <v>30</v>
      </c>
      <c r="J8" s="3" t="s">
        <v>15</v>
      </c>
    </row>
    <row r="9" customFormat="false" ht="15" hidden="false" customHeight="false" outlineLevel="0" collapsed="false">
      <c r="A9" s="1" t="s">
        <v>27</v>
      </c>
      <c r="B9" s="1" t="s">
        <v>31</v>
      </c>
      <c r="C9" s="1" t="s">
        <v>32</v>
      </c>
      <c r="D9" s="1" t="s">
        <v>13</v>
      </c>
      <c r="E9" s="1" t="n">
        <f aca="false">15</f>
        <v>15</v>
      </c>
      <c r="F9" s="1" t="n">
        <v>12</v>
      </c>
      <c r="G9" s="1" t="n">
        <f aca="false">E9-F9</f>
        <v>3</v>
      </c>
      <c r="H9" s="2" t="n">
        <f aca="false">(F9/(F9+G9))</f>
        <v>0.8</v>
      </c>
      <c r="I9" s="3" t="s">
        <v>30</v>
      </c>
      <c r="J9" s="3" t="s">
        <v>15</v>
      </c>
    </row>
    <row r="10" customFormat="false" ht="15" hidden="false" customHeight="false" outlineLevel="0" collapsed="false">
      <c r="A10" s="1" t="s">
        <v>27</v>
      </c>
      <c r="B10" s="1" t="s">
        <v>33</v>
      </c>
      <c r="C10" s="1" t="s">
        <v>34</v>
      </c>
      <c r="D10" s="1" t="s">
        <v>13</v>
      </c>
      <c r="E10" s="1" t="n">
        <f aca="false">15</f>
        <v>15</v>
      </c>
      <c r="F10" s="1" t="n">
        <v>12</v>
      </c>
      <c r="G10" s="1" t="n">
        <f aca="false">E10-F10</f>
        <v>3</v>
      </c>
      <c r="H10" s="2" t="n">
        <f aca="false">(F10/(F10+G10))</f>
        <v>0.8</v>
      </c>
      <c r="I10" s="3" t="s">
        <v>30</v>
      </c>
      <c r="J10" s="3" t="s">
        <v>15</v>
      </c>
    </row>
    <row r="11" customFormat="false" ht="15" hidden="false" customHeight="false" outlineLevel="0" collapsed="false">
      <c r="A11" s="1" t="s">
        <v>27</v>
      </c>
      <c r="B11" s="1" t="s">
        <v>35</v>
      </c>
      <c r="C11" s="1" t="s">
        <v>36</v>
      </c>
      <c r="D11" s="1" t="s">
        <v>13</v>
      </c>
      <c r="E11" s="1" t="n">
        <f aca="false">15</f>
        <v>15</v>
      </c>
      <c r="F11" s="1" t="n">
        <v>12</v>
      </c>
      <c r="G11" s="1" t="n">
        <f aca="false">E11-F11</f>
        <v>3</v>
      </c>
      <c r="H11" s="2" t="n">
        <f aca="false">(F11/(F11+G11))</f>
        <v>0.8</v>
      </c>
      <c r="I11" s="3" t="s">
        <v>30</v>
      </c>
      <c r="J11" s="3" t="s">
        <v>15</v>
      </c>
    </row>
    <row r="12" customFormat="false" ht="15" hidden="false" customHeight="false" outlineLevel="0" collapsed="false">
      <c r="A12" s="1" t="s">
        <v>27</v>
      </c>
      <c r="B12" s="1" t="s">
        <v>37</v>
      </c>
      <c r="C12" s="1" t="s">
        <v>38</v>
      </c>
      <c r="D12" s="1" t="s">
        <v>13</v>
      </c>
      <c r="E12" s="1" t="n">
        <f aca="false">15</f>
        <v>15</v>
      </c>
      <c r="F12" s="1" t="n">
        <v>15</v>
      </c>
      <c r="G12" s="1" t="n">
        <f aca="false">E12-F12</f>
        <v>0</v>
      </c>
      <c r="H12" s="2" t="n">
        <f aca="false">(F12/(F12+G12))</f>
        <v>1</v>
      </c>
      <c r="I12" s="3" t="s">
        <v>30</v>
      </c>
      <c r="J12" s="3" t="s">
        <v>15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1" t="s">
        <v>41</v>
      </c>
      <c r="D13" s="1" t="s">
        <v>42</v>
      </c>
      <c r="E13" s="1" t="n">
        <f aca="false">15</f>
        <v>15</v>
      </c>
      <c r="F13" s="1" t="n">
        <v>14</v>
      </c>
      <c r="G13" s="1" t="n">
        <f aca="false">E13-F13</f>
        <v>1</v>
      </c>
      <c r="H13" s="2" t="n">
        <f aca="false">(F13/(F13+G13))</f>
        <v>0.933333333333333</v>
      </c>
      <c r="I13" s="3" t="s">
        <v>43</v>
      </c>
      <c r="J13" s="3" t="s">
        <v>15</v>
      </c>
    </row>
    <row r="14" customFormat="false" ht="15" hidden="false" customHeight="false" outlineLevel="0" collapsed="false">
      <c r="A14" s="1" t="s">
        <v>39</v>
      </c>
      <c r="B14" s="1" t="s">
        <v>44</v>
      </c>
      <c r="C14" s="1" t="s">
        <v>45</v>
      </c>
      <c r="D14" s="1" t="s">
        <v>42</v>
      </c>
      <c r="E14" s="1" t="n">
        <f aca="false">15</f>
        <v>15</v>
      </c>
      <c r="F14" s="1" t="n">
        <v>13</v>
      </c>
      <c r="G14" s="1" t="n">
        <f aca="false">E14-F14</f>
        <v>2</v>
      </c>
      <c r="H14" s="2" t="n">
        <f aca="false">(F14/(F14+G14))</f>
        <v>0.866666666666667</v>
      </c>
      <c r="I14" s="3" t="s">
        <v>43</v>
      </c>
      <c r="J14" s="3" t="s">
        <v>15</v>
      </c>
    </row>
    <row r="15" customFormat="false" ht="15" hidden="false" customHeight="false" outlineLevel="0" collapsed="false">
      <c r="A15" s="1" t="s">
        <v>39</v>
      </c>
      <c r="B15" s="1" t="s">
        <v>46</v>
      </c>
      <c r="C15" s="1" t="s">
        <v>47</v>
      </c>
      <c r="D15" s="1" t="s">
        <v>42</v>
      </c>
      <c r="E15" s="1" t="n">
        <f aca="false">15</f>
        <v>15</v>
      </c>
      <c r="F15" s="1" t="n">
        <v>13</v>
      </c>
      <c r="G15" s="1" t="n">
        <f aca="false">E15-F15</f>
        <v>2</v>
      </c>
      <c r="H15" s="2" t="n">
        <f aca="false">(F15/(F15+G15))</f>
        <v>0.866666666666667</v>
      </c>
      <c r="I15" s="3" t="s">
        <v>43</v>
      </c>
      <c r="J15" s="3" t="s">
        <v>15</v>
      </c>
    </row>
    <row r="16" customFormat="false" ht="15" hidden="false" customHeight="false" outlineLevel="0" collapsed="false">
      <c r="A16" s="1" t="s">
        <v>39</v>
      </c>
      <c r="B16" s="1" t="s">
        <v>48</v>
      </c>
      <c r="C16" s="1" t="s">
        <v>49</v>
      </c>
      <c r="D16" s="1" t="s">
        <v>42</v>
      </c>
      <c r="E16" s="1" t="n">
        <f aca="false">15</f>
        <v>15</v>
      </c>
      <c r="F16" s="1" t="n">
        <v>13</v>
      </c>
      <c r="G16" s="1" t="n">
        <f aca="false">E16-F16</f>
        <v>2</v>
      </c>
      <c r="H16" s="2" t="n">
        <f aca="false">(F16/(F16+G16))</f>
        <v>0.866666666666667</v>
      </c>
      <c r="I16" s="3" t="s">
        <v>43</v>
      </c>
      <c r="J16" s="3" t="s">
        <v>15</v>
      </c>
    </row>
    <row r="17" customFormat="false" ht="15" hidden="false" customHeight="false" outlineLevel="0" collapsed="false">
      <c r="A17" s="1" t="s">
        <v>39</v>
      </c>
      <c r="B17" s="1" t="s">
        <v>50</v>
      </c>
      <c r="C17" s="1" t="s">
        <v>51</v>
      </c>
      <c r="D17" s="1" t="s">
        <v>42</v>
      </c>
      <c r="E17" s="1" t="n">
        <f aca="false">15</f>
        <v>15</v>
      </c>
      <c r="F17" s="1" t="n">
        <v>13</v>
      </c>
      <c r="G17" s="1" t="n">
        <f aca="false">E17-F17</f>
        <v>2</v>
      </c>
      <c r="H17" s="2" t="n">
        <f aca="false">(F17/(F17+G17))</f>
        <v>0.866666666666667</v>
      </c>
      <c r="I17" s="3" t="s">
        <v>43</v>
      </c>
      <c r="J17" s="3" t="s">
        <v>15</v>
      </c>
    </row>
    <row r="18" customFormat="false" ht="15" hidden="false" customHeight="false" outlineLevel="0" collapsed="false">
      <c r="A18" s="1" t="s">
        <v>52</v>
      </c>
      <c r="B18" s="1" t="s">
        <v>53</v>
      </c>
      <c r="C18" s="1" t="s">
        <v>54</v>
      </c>
      <c r="D18" s="1" t="s">
        <v>42</v>
      </c>
      <c r="E18" s="1" t="n">
        <f aca="false">15</f>
        <v>15</v>
      </c>
      <c r="F18" s="1" t="n">
        <v>15</v>
      </c>
      <c r="G18" s="1" t="n">
        <f aca="false">E18-F18</f>
        <v>0</v>
      </c>
      <c r="H18" s="2" t="n">
        <f aca="false">(F18/(F18+G18))</f>
        <v>1</v>
      </c>
      <c r="I18" s="3" t="s">
        <v>43</v>
      </c>
      <c r="J18" s="3" t="s">
        <v>15</v>
      </c>
    </row>
    <row r="19" customFormat="false" ht="15" hidden="false" customHeight="false" outlineLevel="0" collapsed="false">
      <c r="A19" s="1" t="s">
        <v>55</v>
      </c>
      <c r="B19" s="1" t="s">
        <v>56</v>
      </c>
      <c r="C19" s="1" t="s">
        <v>57</v>
      </c>
      <c r="D19" s="1" t="s">
        <v>42</v>
      </c>
      <c r="E19" s="1" t="n">
        <f aca="false">15</f>
        <v>15</v>
      </c>
      <c r="F19" s="1" t="n">
        <v>14</v>
      </c>
      <c r="G19" s="1" t="n">
        <f aca="false">E19-F19</f>
        <v>1</v>
      </c>
      <c r="H19" s="2" t="n">
        <f aca="false">(F19/(F19+G19))</f>
        <v>0.933333333333333</v>
      </c>
      <c r="I19" s="3" t="s">
        <v>43</v>
      </c>
      <c r="J19" s="3" t="s">
        <v>15</v>
      </c>
    </row>
    <row r="20" customFormat="false" ht="15" hidden="false" customHeight="false" outlineLevel="0" collapsed="false">
      <c r="A20" s="1" t="s">
        <v>58</v>
      </c>
      <c r="B20" s="1" t="s">
        <v>59</v>
      </c>
      <c r="C20" s="1" t="s">
        <v>60</v>
      </c>
      <c r="D20" s="1" t="s">
        <v>13</v>
      </c>
      <c r="E20" s="1" t="n">
        <f aca="false">15</f>
        <v>15</v>
      </c>
      <c r="F20" s="1" t="n">
        <v>11</v>
      </c>
      <c r="G20" s="1" t="n">
        <f aca="false">E20-F20</f>
        <v>4</v>
      </c>
      <c r="H20" s="2" t="n">
        <f aca="false">(F20/(F20+G20))</f>
        <v>0.733333333333333</v>
      </c>
      <c r="I20" s="3" t="s">
        <v>14</v>
      </c>
      <c r="J20" s="3" t="s">
        <v>15</v>
      </c>
    </row>
    <row r="21" customFormat="false" ht="15" hidden="false" customHeight="false" outlineLevel="0" collapsed="false">
      <c r="A21" s="1" t="s">
        <v>61</v>
      </c>
      <c r="B21" s="1" t="s">
        <v>62</v>
      </c>
      <c r="C21" s="1" t="s">
        <v>63</v>
      </c>
      <c r="D21" s="1" t="s">
        <v>64</v>
      </c>
      <c r="E21" s="1" t="n">
        <f aca="false">15</f>
        <v>15</v>
      </c>
      <c r="F21" s="1" t="n">
        <v>3</v>
      </c>
      <c r="G21" s="1" t="n">
        <f aca="false">E21-F21</f>
        <v>12</v>
      </c>
      <c r="H21" s="2" t="n">
        <f aca="false">(F21/(F21+G21))</f>
        <v>0.2</v>
      </c>
      <c r="I21" s="3" t="s">
        <v>65</v>
      </c>
      <c r="J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2026-02-16T13:57:34Z</dcterms:created>
  <dc:creator>openpyxl</dc:creator>
  <dc:description/>
  <dc:language>fr-FR</dc:language>
  <cp:lastModifiedBy/>
  <dcterms:modified xsi:type="dcterms:W3CDTF">2026-02-16T20:53:52Z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